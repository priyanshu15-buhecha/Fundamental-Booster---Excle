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D\weekly task\Excel\Excel PR 1 Fundamental Booster\"/>
    </mc:Choice>
  </mc:AlternateContent>
  <xr:revisionPtr revIDLastSave="0" documentId="8_{76147C17-2348-4BE0-B001-74510225490F}" xr6:coauthVersionLast="47" xr6:coauthVersionMax="47" xr10:uidLastSave="{00000000-0000-0000-0000-000000000000}"/>
  <bookViews>
    <workbookView xWindow="-108" yWindow="-108" windowWidth="23256" windowHeight="13176" activeTab="1" xr2:uid="{386A7D4E-15F4-4C7E-955C-F0A51998007E}"/>
  </bookViews>
  <sheets>
    <sheet name="Student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F17" i="3"/>
  <c r="F14" i="3"/>
  <c r="F11" i="3"/>
  <c r="F8" i="3"/>
  <c r="F5" i="3"/>
  <c r="F2" i="3"/>
  <c r="J17" i="2"/>
  <c r="J14" i="2"/>
  <c r="J11" i="2"/>
  <c r="J8" i="2"/>
  <c r="K8" i="2"/>
  <c r="J2" i="2"/>
  <c r="K20" i="1" a="1"/>
  <c r="K20" i="1" s="1"/>
  <c r="K17" i="1"/>
  <c r="K14" i="1"/>
  <c r="K11" i="1"/>
  <c r="K8" i="1"/>
  <c r="I2" i="2"/>
  <c r="G2" i="2"/>
  <c r="G8" i="1"/>
  <c r="G22" i="1"/>
  <c r="J20" i="2"/>
  <c r="K5" i="2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K5" i="1"/>
  <c r="K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3" i="1"/>
  <c r="H3" i="1" s="1"/>
  <c r="G4" i="1"/>
  <c r="H4" i="1" s="1"/>
  <c r="G5" i="1"/>
  <c r="H5" i="1" s="1"/>
  <c r="G6" i="1"/>
  <c r="H6" i="1" s="1"/>
  <c r="G7" i="1"/>
  <c r="H7" i="1" s="1"/>
  <c r="H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<sst xmlns="http://schemas.openxmlformats.org/spreadsheetml/2006/main" count="167" uniqueCount="119">
  <si>
    <t>Laptop</t>
  </si>
  <si>
    <t>Salary</t>
  </si>
  <si>
    <t>Salesperson</t>
  </si>
  <si>
    <t>Region</t>
  </si>
  <si>
    <t>North</t>
  </si>
  <si>
    <t>South</t>
  </si>
  <si>
    <t>Name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</si>
  <si>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</si>
  <si>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</si>
  <si>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</si>
  <si>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</si>
  <si>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</si>
  <si>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</si>
  <si>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</si>
  <si>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</si>
  <si>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</si>
  <si>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</si>
  <si>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</si>
  <si>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</si>
  <si>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</si>
  <si>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</si>
  <si>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</si>
  <si>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</si>
  <si>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</si>
  <si>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</si>
  <si>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</si>
  <si>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</si>
  <si>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</si>
  <si>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</si>
  <si>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Amount</t>
  </si>
  <si>
    <t>Date</t>
  </si>
  <si>
    <t>Keyboard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</si>
  <si>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</si>
  <si>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</si>
  <si>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</si>
  <si>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</si>
  <si>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</si>
  <si>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</si>
  <si>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</si>
  <si>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</si>
  <si>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</si>
  <si>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</si>
  <si>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</si>
  <si>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</si>
  <si>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</si>
  <si>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</si>
  <si>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</si>
  <si>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</si>
  <si>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</si>
  <si>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</si>
  <si>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</si>
  <si>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</si>
  <si>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</si>
  <si>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</si>
  <si>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</si>
  <si>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</si>
  <si>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</si>
  <si>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</si>
  <si>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</si>
  <si>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</si>
  <si>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</si>
  <si>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</si>
  <si>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</si>
  <si>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</si>
  <si>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</si>
  <si>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</si>
  <si>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</si>
  <si>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</si>
  <si>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</si>
  <si>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</si>
  <si>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</si>
  <si>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</si>
  <si>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</si>
  <si>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</si>
  <si>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</si>
  <si>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</si>
  <si>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</si>
  <si>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</si>
  <si>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</si>
  <si>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</si>
  <si>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</si>
  <si>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</si>
  <si>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</si>
  <si>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</si>
  <si>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 xml:space="preserve">Discount Rate </t>
  </si>
  <si>
    <t>Percentage</t>
  </si>
  <si>
    <t>STUDENT ID</t>
  </si>
  <si>
    <t>NAME</t>
  </si>
  <si>
    <t>MATH</t>
  </si>
  <si>
    <t>SCIENCE</t>
  </si>
  <si>
    <t>ENGLISH</t>
  </si>
  <si>
    <t>ENROLLMENT DATE</t>
  </si>
  <si>
    <t>TOTAL MARKS (8)</t>
  </si>
  <si>
    <t>Grades Using IF &amp; Nesting IF (11)</t>
  </si>
  <si>
    <t>Discount (12)</t>
  </si>
  <si>
    <t>Math&gt;80 &amp; Science&gt;80 Using IF with AND/OR (15)</t>
  </si>
  <si>
    <t>Eligible for Discount Using IF with AND/OR (16)</t>
  </si>
  <si>
    <t>Math Score&gt;50 COUNTIFS, SUMIFS, AVERAGEIFS (19)</t>
  </si>
  <si>
    <t>Region="East"&amp; Product="KeyBoard" COUNTIFS, SUMIFS, AVERAGEIFS (20)</t>
  </si>
  <si>
    <t>Average Math&gt;60 COUNTIFS, SUMIFS, AVERAGEIFS (21)</t>
  </si>
  <si>
    <t>Student Name From Id VLOOKUP Function (24)</t>
  </si>
  <si>
    <t>OFFSET Function (46)</t>
  </si>
  <si>
    <t>INDIRECT Function (43)</t>
  </si>
  <si>
    <t>Top Performing Student (56)</t>
  </si>
  <si>
    <t>Position of Mouse XMATCH Function (40)</t>
  </si>
  <si>
    <t>Total Sales of North (25)</t>
  </si>
  <si>
    <t>Person 13 Sales Value for Jun month (28)</t>
  </si>
  <si>
    <t>First Name Excel TEXT Functions (32)</t>
  </si>
  <si>
    <t>Upper Case Excel TEXT Functions (33)</t>
  </si>
  <si>
    <t>Using INDEX and MATCH Functions (28)</t>
  </si>
  <si>
    <t>Position of Keyboard XMATCH Function (36)</t>
  </si>
  <si>
    <t>XLOOKUP Function (37)</t>
  </si>
  <si>
    <t>Day Difference Date and Time Functions (50)</t>
  </si>
  <si>
    <t>Year Difference Date and Time Functions (49)</t>
  </si>
  <si>
    <t>Floor Financial Calculaion Math Functions (53)</t>
  </si>
  <si>
    <t>Round Financial Calculaion Math Functions (53)</t>
  </si>
  <si>
    <t>Ceiling Financial Calculaion Math Functions (53)</t>
  </si>
  <si>
    <t>Look up employee details dynamically (29)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</si>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</sst>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-4009]\ #,##0.00"/>
    <numFmt numFmtId="165" formatCode="mm/dd/yyyy"/>
    <numFmt numFmtId="166" formatCode="[$₹-447]#,##0.00"/>
    <numFmt numFmtId="169" formatCode="&quot;₹&quot;\ #,##0.00"/>
  </numFmts>
  <fonts count="13">
    <font>
      <sz val="11"/>
      <color theme="1"/>
      <name val="Aptos Narrow"/>
      <family val="2"/>
      <scheme val="minor"/>
    </font>
    <font>
      <i/>
      <sz val="11"/>
      <color rgb="FF1F1F1F"/>
      <name val="Google Sans Text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rial"/>
      <family val="2"/>
    </font>
    <font>
      <b/>
      <i/>
      <sz val="11"/>
      <color theme="0"/>
      <name val="Aptos Narrow"/>
      <family val="2"/>
      <scheme val="minor"/>
    </font>
    <font>
      <b/>
      <i/>
      <sz val="11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b/>
      <i/>
      <sz val="11"/>
      <color rgb="FF3F3F3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</fills>
  <borders count="2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3F3F3F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7F7F7F"/>
      </top>
      <bottom style="thin">
        <color rgb="FF3F3F3F"/>
      </bottom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5">
    <xf numFmtId="0" fontId="0" fillId="0" borderId="0"/>
    <xf numFmtId="0" fontId="6" fillId="2" borderId="5" applyNumberFormat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3" fillId="0" borderId="0" xfId="0" applyFont="1"/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2" fillId="0" borderId="3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0" fontId="7" fillId="4" borderId="8" xfId="3" applyBorder="1" applyAlignment="1">
      <alignment horizontal="center" vertical="center" wrapText="1"/>
    </xf>
    <xf numFmtId="0" fontId="7" fillId="4" borderId="9" xfId="3" applyBorder="1" applyAlignment="1">
      <alignment horizontal="center" vertical="center" wrapText="1"/>
    </xf>
    <xf numFmtId="164" fontId="7" fillId="4" borderId="9" xfId="3" applyNumberFormat="1" applyBorder="1" applyAlignment="1">
      <alignment horizontal="center" vertical="center" wrapText="1"/>
    </xf>
    <xf numFmtId="14" fontId="7" fillId="4" borderId="10" xfId="3" applyNumberForma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 wrapText="1"/>
    </xf>
    <xf numFmtId="0" fontId="9" fillId="3" borderId="8" xfId="2" applyFont="1" applyBorder="1" applyAlignment="1">
      <alignment horizontal="center" vertical="center" wrapText="1"/>
    </xf>
    <xf numFmtId="0" fontId="9" fillId="3" borderId="9" xfId="2" applyFont="1" applyBorder="1" applyAlignment="1">
      <alignment horizontal="center" vertical="center" wrapText="1"/>
    </xf>
    <xf numFmtId="165" fontId="9" fillId="3" borderId="10" xfId="2" applyNumberFormat="1" applyFont="1" applyBorder="1" applyAlignment="1">
      <alignment horizontal="center" vertical="center" wrapText="1"/>
    </xf>
    <xf numFmtId="0" fontId="9" fillId="3" borderId="1" xfId="2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5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 wrapText="1"/>
    </xf>
    <xf numFmtId="0" fontId="9" fillId="5" borderId="18" xfId="4" applyFont="1" applyBorder="1" applyAlignment="1">
      <alignment horizontal="center" vertical="center" wrapText="1"/>
    </xf>
    <xf numFmtId="0" fontId="9" fillId="5" borderId="2" xfId="4" applyFont="1" applyBorder="1" applyAlignment="1">
      <alignment horizontal="center" vertical="center" wrapText="1"/>
    </xf>
    <xf numFmtId="164" fontId="9" fillId="5" borderId="2" xfId="4" applyNumberFormat="1" applyFont="1" applyBorder="1" applyAlignment="1">
      <alignment horizontal="center" vertical="center" wrapText="1"/>
    </xf>
    <xf numFmtId="165" fontId="9" fillId="5" borderId="2" xfId="4" applyNumberFormat="1" applyFont="1" applyBorder="1" applyAlignment="1">
      <alignment horizontal="center" vertical="center" wrapText="1"/>
    </xf>
    <xf numFmtId="0" fontId="9" fillId="5" borderId="1" xfId="4" applyFont="1" applyBorder="1" applyAlignment="1">
      <alignment horizontal="center" vertical="center" wrapText="1" readingOrder="1"/>
    </xf>
    <xf numFmtId="0" fontId="9" fillId="5" borderId="0" xfId="4" applyFont="1" applyAlignment="1">
      <alignment horizontal="center" vertical="center" wrapText="1" readingOrder="1"/>
    </xf>
    <xf numFmtId="0" fontId="9" fillId="5" borderId="0" xfId="4" applyFont="1" applyAlignment="1">
      <alignment horizontal="center" vertical="center"/>
    </xf>
    <xf numFmtId="9" fontId="11" fillId="0" borderId="20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4" fontId="11" fillId="0" borderId="20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3" borderId="23" xfId="2" applyFont="1" applyBorder="1" applyAlignment="1">
      <alignment horizontal="center" vertical="center"/>
    </xf>
    <xf numFmtId="0" fontId="9" fillId="3" borderId="15" xfId="2" applyFont="1" applyBorder="1" applyAlignment="1">
      <alignment horizontal="center" vertical="center"/>
    </xf>
    <xf numFmtId="0" fontId="9" fillId="3" borderId="16" xfId="2" applyFont="1" applyBorder="1" applyAlignment="1">
      <alignment horizontal="center" vertical="center"/>
    </xf>
    <xf numFmtId="0" fontId="9" fillId="3" borderId="0" xfId="2" applyFont="1" applyAlignment="1">
      <alignment horizontal="center" vertical="center" wrapText="1"/>
    </xf>
    <xf numFmtId="0" fontId="9" fillId="3" borderId="4" xfId="2" applyFont="1" applyBorder="1" applyAlignment="1">
      <alignment horizontal="center" vertical="center" wrapText="1"/>
    </xf>
    <xf numFmtId="0" fontId="12" fillId="2" borderId="21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3" borderId="14" xfId="2" applyFont="1" applyBorder="1" applyAlignment="1">
      <alignment horizontal="center" vertical="center" wrapText="1"/>
    </xf>
    <xf numFmtId="0" fontId="9" fillId="3" borderId="25" xfId="2" applyFont="1" applyBorder="1" applyAlignment="1">
      <alignment horizontal="center" vertical="center" wrapText="1"/>
    </xf>
    <xf numFmtId="0" fontId="12" fillId="2" borderId="20" xfId="1" applyFont="1" applyBorder="1" applyAlignment="1">
      <alignment horizontal="center" vertical="center" wrapText="1"/>
    </xf>
    <xf numFmtId="0" fontId="7" fillId="3" borderId="24" xfId="2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7" fillId="3" borderId="19" xfId="2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5" borderId="0" xfId="4" applyFont="1" applyAlignment="1">
      <alignment horizontal="center" vertical="center" wrapText="1"/>
    </xf>
    <xf numFmtId="169" fontId="1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5">
    <cellStyle name="Accent2" xfId="2" builtinId="33"/>
    <cellStyle name="Accent3" xfId="3" builtinId="37"/>
    <cellStyle name="Accent4" xfId="4" builtinId="41"/>
    <cellStyle name="Normal" xfId="0" builtinId="0"/>
    <cellStyle name="Output" xfId="1" builtinId="21"/>
  </cellStyles>
  <dxfs count="53"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₹-4009]\ #,##0.0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i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</font>
      <numFmt numFmtId="164" formatCode="[$₹-4009]\ #,##0.00"/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mm/dd/yyyy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₹-4009]\ #,##0.00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border outline="0">
        <left style="medium">
          <color rgb="FF000000"/>
        </left>
      </border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mm/dd/yyyy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/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24CD8-867D-47F4-98AF-11682006F5EE}" name="Table1" displayName="Table1" ref="A1:F21" totalsRowShown="0" headerRowDxfId="52" dataDxfId="50" headerRowBorderDxfId="51" tableBorderDxfId="49" totalsRowBorderDxfId="48" headerRowCellStyle="Accent2">
  <autoFilter ref="A1:F21" xr:uid="{30924CD8-867D-47F4-98AF-11682006F5EE}"/>
  <tableColumns count="6">
    <tableColumn id="1" xr3:uid="{E0CAA0E0-2050-47BA-8C9C-3129252A9C41}" name="STUDENT ID" dataDxfId="47"/>
    <tableColumn id="2" xr3:uid="{20B4765F-9149-419A-B5E2-17608584C348}" name="NAME" dataDxfId="46"/>
    <tableColumn id="3" xr3:uid="{C7C233A1-FEA1-461D-8AC9-14150F0CC820}" name="MATH" dataDxfId="45"/>
    <tableColumn id="4" xr3:uid="{0E4447D1-5978-4241-AB68-C2D2CF5F13B9}" name="SCIENCE" dataDxfId="44"/>
    <tableColumn id="5" xr3:uid="{39679F04-EC04-4ACA-BEF3-F55F80AA236E}" name="ENGLISH" dataDxfId="43"/>
    <tableColumn id="6" xr3:uid="{B6F9EADF-B9B2-42AB-9E1F-59D3412124BC}" name="ENROLLMENT DATE" dataDxfId="4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1F0928-7313-439E-98CE-70F36A07875C}" name="Table3" displayName="Table3" ref="G1:J22" totalsRowCount="1" headerRowDxfId="41" dataDxfId="40" headerRowCellStyle="Accent2">
  <autoFilter ref="G1:J21" xr:uid="{0C1F0928-7313-439E-98CE-70F36A07875C}"/>
  <tableColumns count="4">
    <tableColumn id="1" xr3:uid="{84F99937-E703-4B89-B6E9-10E9B18503FD}" name="TOTAL MARKS (8)" totalsRowFunction="custom" dataDxfId="39" totalsRowDxfId="38">
      <calculatedColumnFormula>SUM(C2+D2+E2)</calculatedColumnFormula>
      <totalsRowFormula>SUM($G$2:$G$21)</totalsRowFormula>
    </tableColumn>
    <tableColumn id="2" xr3:uid="{6DAF058A-4DB1-40C7-99B7-240062D7BD11}" name="Percentage" dataDxfId="37" totalsRowDxfId="36">
      <calculatedColumnFormula>G2*100/300</calculatedColumnFormula>
    </tableColumn>
    <tableColumn id="3" xr3:uid="{AC89A400-92B6-4DD6-A8CB-4097008B358E}" name="Grades Using IF &amp; Nesting IF (11)" dataDxfId="35" totalsRowDxfId="34">
      <calculatedColumnFormula>IF(C2&gt;=90, "A", IF(C2&gt;=75, "B", IF(C2&gt;=50, "C", "F")))</calculatedColumnFormula>
    </tableColumn>
    <tableColumn id="4" xr3:uid="{09FC6632-5627-471C-9D2E-22C0638335B8}" name="Math&gt;80 &amp; Science&gt;80 Using IF with AND/OR (15)" dataDxfId="33" totalsRowDxfId="32">
      <calculatedColumnFormula>IF(AND(C2&gt;80, D2&gt;80), "Above", "Below")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D33193-A1E5-4722-A318-3C7E21288BF0}" name="Table5" displayName="Table5" ref="K1:K2" totalsRowShown="0" headerRowDxfId="7" dataDxfId="6" headerRowCellStyle="Accent2" dataCellStyle="Output">
  <autoFilter ref="K1:K2" xr:uid="{04D33193-A1E5-4722-A318-3C7E21288BF0}"/>
  <tableColumns count="1">
    <tableColumn id="1" xr3:uid="{63FC847C-AAAC-4C6D-A050-B3609AE20420}" name="Math Score&gt;50 COUNTIFS, SUMIFS, AVERAGEIFS (19)" dataDxfId="8" dataCellStyle="Output">
      <calculatedColumnFormula>COUNTIF(C2:C21, "&gt;50")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509DDB-F288-45ED-AA27-D3863268A88B}" name="Table7" displayName="Table7" ref="K4:K5" totalsRowShown="0" headerRowDxfId="4" dataDxfId="3" headerRowCellStyle="Accent2" dataCellStyle="Output">
  <autoFilter ref="K4:K5" xr:uid="{5D509DDB-F288-45ED-AA27-D3863268A88B}"/>
  <tableColumns count="1">
    <tableColumn id="1" xr3:uid="{F68F6510-18D4-4538-936B-6702BB7B7675}" name="Average Math&gt;60 COUNTIFS, SUMIFS, AVERAGEIFS (21)" dataDxfId="5" dataCellStyle="Output">
      <calculatedColumnFormula>AVERAGEIF(C2:C21, "&gt;60")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A67E81-C45A-4572-A35E-6E418EBA368C}" name="Table1211" displayName="Table1211" ref="K7:K8" totalsRowShown="0" headerRowDxfId="1" dataDxfId="0" headerRowCellStyle="Accent2" dataCellStyle="Output">
  <autoFilter ref="K7:K8" xr:uid="{98A67E81-C45A-4572-A35E-6E418EBA368C}"/>
  <tableColumns count="1">
    <tableColumn id="1" xr3:uid="{6DB916F2-3015-42AA-BC50-7832BA2679A2}" name="Student Name From Id VLOOKUP Function (24)" dataDxfId="2" dataCellStyle="Output">
      <calculatedColumnFormula>VLOOKUP(1003, A2:F21, 2, FALSE)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41B6E5-5771-4F4F-94FF-8CE023BD099F}" name="Table6" displayName="Table6" ref="A1:K21" totalsRowShown="0" headerRowDxfId="31" dataDxfId="30" tableBorderDxfId="29" headerRowCellStyle="Accent4">
  <autoFilter ref="A1:K21" xr:uid="{7941B6E5-5771-4F4F-94FF-8CE023BD099F}"/>
  <tableColumns count="11">
    <tableColumn id="1" xr3:uid="{CFA6BE4F-5D99-4CBD-97AF-370B9B6AB2EC}" name="Sales ID" dataDxfId="28"/>
    <tableColumn id="2" xr3:uid="{3D6C2D94-3C6E-4366-B97F-1191D8ADA2BA}" name="Product" dataDxfId="27"/>
    <tableColumn id="3" xr3:uid="{4753AB6B-A517-49DD-874C-1580C4B94569}" name="Region" dataDxfId="26"/>
    <tableColumn id="4" xr3:uid="{B41E565B-288C-4414-8D26-73217FAD9C25}" name="Salesperson" dataDxfId="25"/>
    <tableColumn id="5" xr3:uid="{9D812486-9814-4335-AE7F-BB4E5FCC3A76}" name="Amount" dataDxfId="24"/>
    <tableColumn id="6" xr3:uid="{ED54FBC7-9B22-4AB7-9B50-CF21B0C7F1E6}" name="Date" dataDxfId="23"/>
    <tableColumn id="7" xr3:uid="{8FCF4131-DC92-4758-B63E-73775AD46E33}" name="Discount (12)" dataDxfId="22">
      <calculatedColumnFormula>E2*$H$2</calculatedColumnFormula>
    </tableColumn>
    <tableColumn id="8" xr3:uid="{2DE70BD4-7E54-4DEB-8FDD-7C3AF522FFAF}" name="Discount Rate " dataDxfId="21"/>
    <tableColumn id="9" xr3:uid="{3AEBB660-04DE-4971-B2DD-F21E9E49FF4F}" name="Eligible for Discount Using IF with AND/OR (16)" dataDxfId="20">
      <calculatedColumnFormula>IF(OR(B2="Laptop", E2&gt;20000), "Eligible", "Not Eligible")</calculatedColumnFormula>
    </tableColumn>
    <tableColumn id="10" xr3:uid="{604B9262-7760-4E90-AF51-C852F250113D}" name="Region=&quot;East&quot;&amp; Product=&quot;KeyBoard&quot; COUNTIFS, SUMIFS, AVERAGEIFS (20)" dataDxfId="19"/>
    <tableColumn id="11" xr3:uid="{C37D43F7-56AF-4CD3-ADF7-DEB987E95052}" name="Column1" dataDxfId="18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0AC14B-6923-425A-9B97-1158152A4BEE}" name="Table4" displayName="Table4" ref="A1:E21" totalsRowShown="0" headerRowDxfId="17" headerRowBorderDxfId="16" tableBorderDxfId="15" totalsRowBorderDxfId="14" headerRowCellStyle="Accent3">
  <autoFilter ref="A1:E21" xr:uid="{550AC14B-6923-425A-9B97-1158152A4BEE}"/>
  <tableColumns count="5">
    <tableColumn id="1" xr3:uid="{BED83491-5552-4630-809D-124AE49EEF8F}" name="Employee ID" dataDxfId="13"/>
    <tableColumn id="2" xr3:uid="{3CABF3CC-A0E6-451F-999E-69DE420929D6}" name="Name" dataDxfId="12"/>
    <tableColumn id="3" xr3:uid="{60DB747F-37A8-40F1-9CA6-4C5A883FB6E7}" name="Department" dataDxfId="11"/>
    <tableColumn id="4" xr3:uid="{54B4825C-4652-4A02-8372-7E178A1B67E8}" name="Salary" dataDxfId="10"/>
    <tableColumn id="5" xr3:uid="{5E1B1433-1140-4066-91A2-A141B0EFC9BB}" name="Joining Date" dataDxfId="9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BF98-E1F3-462C-AB3C-6CA3C48D8409}">
  <dimension ref="A1:M23"/>
  <sheetViews>
    <sheetView zoomScaleNormal="100" workbookViewId="0">
      <selection activeCell="K19" sqref="K19:M19"/>
    </sheetView>
  </sheetViews>
  <sheetFormatPr defaultRowHeight="14.4"/>
  <cols>
    <col min="1" max="1" width="13.33203125" customWidth="1"/>
    <col min="2" max="2" width="11.5546875" bestFit="1" customWidth="1"/>
    <col min="3" max="5" width="10.6640625" customWidth="1"/>
    <col min="6" max="6" width="18.5546875" style="6" customWidth="1"/>
    <col min="7" max="7" width="20.21875" bestFit="1" customWidth="1"/>
    <col min="8" max="8" width="13.6640625" style="1" customWidth="1"/>
    <col min="9" max="9" width="11.6640625" customWidth="1"/>
    <col min="10" max="10" width="34.5546875" style="1" customWidth="1"/>
    <col min="11" max="11" width="34" style="69" customWidth="1"/>
  </cols>
  <sheetData>
    <row r="1" spans="1:13" s="7" customFormat="1" ht="58.2" customHeight="1" thickBot="1">
      <c r="A1" s="30" t="s">
        <v>86</v>
      </c>
      <c r="B1" s="31" t="s">
        <v>87</v>
      </c>
      <c r="C1" s="31" t="s">
        <v>88</v>
      </c>
      <c r="D1" s="31" t="s">
        <v>89</v>
      </c>
      <c r="E1" s="31" t="s">
        <v>90</v>
      </c>
      <c r="F1" s="32" t="s">
        <v>91</v>
      </c>
      <c r="G1" s="33" t="s">
        <v>92</v>
      </c>
      <c r="H1" s="33" t="s">
        <v>85</v>
      </c>
      <c r="I1" s="33" t="s">
        <v>93</v>
      </c>
      <c r="J1" s="57" t="s">
        <v>95</v>
      </c>
      <c r="K1" s="58" t="s">
        <v>97</v>
      </c>
      <c r="L1" s="38"/>
      <c r="M1" s="38"/>
    </row>
    <row r="2" spans="1:13" ht="24.9" customHeight="1" thickBot="1">
      <c r="A2" s="24">
        <v>1001</v>
      </c>
      <c r="B2" s="25" t="s">
        <v>7</v>
      </c>
      <c r="C2" s="25">
        <v>61</v>
      </c>
      <c r="D2" s="25">
        <v>48</v>
      </c>
      <c r="E2" s="25">
        <v>76</v>
      </c>
      <c r="F2" s="26">
        <v>43101</v>
      </c>
      <c r="G2" s="34">
        <f t="shared" ref="G2:G21" si="0">SUM(C2+D2+E2)</f>
        <v>185</v>
      </c>
      <c r="H2" s="35">
        <f>G2*100/300</f>
        <v>61.666666666666664</v>
      </c>
      <c r="I2" s="35" t="str">
        <f t="shared" ref="I2:I21" si="1">IF(C2&gt;=90, "A", IF(C2&gt;=75, "B", IF(C2&gt;=50, "C", "F")))</f>
        <v>C</v>
      </c>
      <c r="J2" s="35" t="str">
        <f t="shared" ref="J2:J21" si="2">IF(AND(C2&gt;80, D2&gt;80), "Above", "Below")</f>
        <v>Below</v>
      </c>
      <c r="K2" s="59">
        <f>COUNTIF(C2:C21, "&gt;50")</f>
        <v>19</v>
      </c>
      <c r="L2" s="36"/>
      <c r="M2" s="36"/>
    </row>
    <row r="3" spans="1:13" ht="24.9" customHeight="1" thickBot="1">
      <c r="A3" s="24">
        <v>1002</v>
      </c>
      <c r="B3" s="25" t="s">
        <v>8</v>
      </c>
      <c r="C3" s="25">
        <v>78</v>
      </c>
      <c r="D3" s="25">
        <v>76</v>
      </c>
      <c r="E3" s="25">
        <v>70</v>
      </c>
      <c r="F3" s="26">
        <v>43281</v>
      </c>
      <c r="G3" s="34">
        <f t="shared" si="0"/>
        <v>224</v>
      </c>
      <c r="H3" s="35">
        <f t="shared" ref="H3:H21" si="3">G3*100/300</f>
        <v>74.666666666666671</v>
      </c>
      <c r="I3" s="35" t="str">
        <f t="shared" si="1"/>
        <v>B</v>
      </c>
      <c r="J3" s="35" t="str">
        <f t="shared" si="2"/>
        <v>Below</v>
      </c>
      <c r="K3" s="60"/>
      <c r="L3" s="36"/>
      <c r="M3" s="36"/>
    </row>
    <row r="4" spans="1:13" ht="24.9" customHeight="1" thickBot="1">
      <c r="A4" s="24">
        <v>1003</v>
      </c>
      <c r="B4" s="25" t="s">
        <v>9</v>
      </c>
      <c r="C4" s="25">
        <v>97</v>
      </c>
      <c r="D4" s="25">
        <v>60</v>
      </c>
      <c r="E4" s="25">
        <v>51</v>
      </c>
      <c r="F4" s="26">
        <v>43461</v>
      </c>
      <c r="G4" s="34">
        <f t="shared" si="0"/>
        <v>208</v>
      </c>
      <c r="H4" s="35">
        <f t="shared" si="3"/>
        <v>69.333333333333329</v>
      </c>
      <c r="I4" s="35" t="str">
        <f t="shared" si="1"/>
        <v>A</v>
      </c>
      <c r="J4" s="35" t="str">
        <f t="shared" si="2"/>
        <v>Below</v>
      </c>
      <c r="K4" s="61" t="s">
        <v>99</v>
      </c>
      <c r="L4" s="36"/>
      <c r="M4" s="36"/>
    </row>
    <row r="5" spans="1:13" ht="24.9" customHeight="1" thickBot="1">
      <c r="A5" s="24">
        <v>1004</v>
      </c>
      <c r="B5" s="25" t="s">
        <v>10</v>
      </c>
      <c r="C5" s="25">
        <v>74</v>
      </c>
      <c r="D5" s="25">
        <v>55</v>
      </c>
      <c r="E5" s="25">
        <v>46</v>
      </c>
      <c r="F5" s="26">
        <v>43641</v>
      </c>
      <c r="G5" s="34">
        <f t="shared" si="0"/>
        <v>175</v>
      </c>
      <c r="H5" s="35">
        <f t="shared" si="3"/>
        <v>58.333333333333336</v>
      </c>
      <c r="I5" s="35" t="str">
        <f t="shared" si="1"/>
        <v>C</v>
      </c>
      <c r="J5" s="35" t="str">
        <f t="shared" si="2"/>
        <v>Below</v>
      </c>
      <c r="K5" s="59">
        <f>AVERAGEIF(C2:C21, "&gt;60")</f>
        <v>82.263157894736835</v>
      </c>
      <c r="L5" s="36"/>
      <c r="M5" s="36"/>
    </row>
    <row r="6" spans="1:13" ht="24.9" customHeight="1" thickBot="1">
      <c r="A6" s="24">
        <v>1005</v>
      </c>
      <c r="B6" s="25" t="s">
        <v>11</v>
      </c>
      <c r="C6" s="25">
        <v>68</v>
      </c>
      <c r="D6" s="25">
        <v>74</v>
      </c>
      <c r="E6" s="25">
        <v>84</v>
      </c>
      <c r="F6" s="26">
        <v>43821</v>
      </c>
      <c r="G6" s="34">
        <f t="shared" si="0"/>
        <v>226</v>
      </c>
      <c r="H6" s="35">
        <f t="shared" si="3"/>
        <v>75.333333333333329</v>
      </c>
      <c r="I6" s="35" t="str">
        <f t="shared" si="1"/>
        <v>C</v>
      </c>
      <c r="J6" s="35" t="str">
        <f t="shared" si="2"/>
        <v>Below</v>
      </c>
      <c r="K6" s="60"/>
      <c r="L6" s="36"/>
      <c r="M6" s="36"/>
    </row>
    <row r="7" spans="1:13" ht="24.9" customHeight="1" thickBot="1">
      <c r="A7" s="24">
        <v>1006</v>
      </c>
      <c r="B7" s="25" t="s">
        <v>12</v>
      </c>
      <c r="C7" s="25">
        <v>80</v>
      </c>
      <c r="D7" s="25">
        <v>70</v>
      </c>
      <c r="E7" s="25">
        <v>65</v>
      </c>
      <c r="F7" s="26">
        <v>44001</v>
      </c>
      <c r="G7" s="34">
        <f t="shared" si="0"/>
        <v>215</v>
      </c>
      <c r="H7" s="35">
        <f t="shared" si="3"/>
        <v>71.666666666666671</v>
      </c>
      <c r="I7" s="35" t="str">
        <f t="shared" si="1"/>
        <v>B</v>
      </c>
      <c r="J7" s="35" t="str">
        <f t="shared" si="2"/>
        <v>Below</v>
      </c>
      <c r="K7" s="62" t="s">
        <v>100</v>
      </c>
    </row>
    <row r="8" spans="1:13" ht="24.9" customHeight="1" thickBot="1">
      <c r="A8" s="24">
        <v>1007</v>
      </c>
      <c r="B8" s="25" t="s">
        <v>13</v>
      </c>
      <c r="C8" s="25">
        <v>75</v>
      </c>
      <c r="D8" s="25">
        <v>47</v>
      </c>
      <c r="E8" s="25">
        <v>78</v>
      </c>
      <c r="F8" s="26">
        <v>44181</v>
      </c>
      <c r="G8" s="34">
        <f>SUM(C8+D8+E8)</f>
        <v>200</v>
      </c>
      <c r="H8" s="35">
        <f t="shared" si="3"/>
        <v>66.666666666666671</v>
      </c>
      <c r="I8" s="35" t="str">
        <f t="shared" si="1"/>
        <v>B</v>
      </c>
      <c r="J8" s="35" t="str">
        <f t="shared" si="2"/>
        <v>Below</v>
      </c>
      <c r="K8" s="63" t="str">
        <f>VLOOKUP(1003, A2:F21, 2, FALSE)</f>
        <v>Student 3</v>
      </c>
    </row>
    <row r="9" spans="1:13" ht="24.9" customHeight="1" thickBot="1">
      <c r="A9" s="24">
        <v>1008</v>
      </c>
      <c r="B9" s="25" t="s">
        <v>14</v>
      </c>
      <c r="C9" s="25">
        <v>94</v>
      </c>
      <c r="D9" s="25">
        <v>67</v>
      </c>
      <c r="E9" s="25">
        <v>64</v>
      </c>
      <c r="F9" s="26">
        <v>44361</v>
      </c>
      <c r="G9" s="34">
        <f t="shared" si="0"/>
        <v>225</v>
      </c>
      <c r="H9" s="35">
        <f t="shared" si="3"/>
        <v>75</v>
      </c>
      <c r="I9" s="35" t="str">
        <f t="shared" si="1"/>
        <v>A</v>
      </c>
      <c r="J9" s="35" t="str">
        <f t="shared" si="2"/>
        <v>Below</v>
      </c>
      <c r="K9" s="60"/>
      <c r="L9" s="36"/>
      <c r="M9" s="36"/>
    </row>
    <row r="10" spans="1:13" ht="24.9" customHeight="1" thickBot="1">
      <c r="A10" s="24">
        <v>1009</v>
      </c>
      <c r="B10" s="25" t="s">
        <v>15</v>
      </c>
      <c r="C10" s="25">
        <v>41</v>
      </c>
      <c r="D10" s="25">
        <v>75</v>
      </c>
      <c r="E10" s="25">
        <v>56</v>
      </c>
      <c r="F10" s="26">
        <v>44541</v>
      </c>
      <c r="G10" s="34">
        <f t="shared" si="0"/>
        <v>172</v>
      </c>
      <c r="H10" s="35">
        <f t="shared" si="3"/>
        <v>57.333333333333336</v>
      </c>
      <c r="I10" s="35" t="str">
        <f t="shared" si="1"/>
        <v>F</v>
      </c>
      <c r="J10" s="35" t="str">
        <f t="shared" si="2"/>
        <v>Below</v>
      </c>
      <c r="K10" s="64" t="s">
        <v>115</v>
      </c>
      <c r="L10" s="36"/>
      <c r="M10" s="36"/>
    </row>
    <row r="11" spans="1:13" ht="24.9" customHeight="1" thickBot="1">
      <c r="A11" s="24">
        <v>1010</v>
      </c>
      <c r="B11" s="25" t="s">
        <v>16</v>
      </c>
      <c r="C11" s="25">
        <v>98</v>
      </c>
      <c r="D11" s="25">
        <v>54</v>
      </c>
      <c r="E11" s="25">
        <v>58</v>
      </c>
      <c r="F11" s="26">
        <v>44721</v>
      </c>
      <c r="G11" s="34">
        <f t="shared" si="0"/>
        <v>210</v>
      </c>
      <c r="H11" s="35">
        <f t="shared" si="3"/>
        <v>70</v>
      </c>
      <c r="I11" s="35" t="str">
        <f t="shared" si="1"/>
        <v>A</v>
      </c>
      <c r="J11" s="35" t="str">
        <f t="shared" si="2"/>
        <v>Below</v>
      </c>
      <c r="K11" s="65">
        <f>ROUND(H3,2)</f>
        <v>74.67</v>
      </c>
      <c r="L11" s="36"/>
      <c r="M11" s="36"/>
    </row>
    <row r="12" spans="1:13" ht="24.9" customHeight="1" thickBot="1">
      <c r="A12" s="24">
        <v>1011</v>
      </c>
      <c r="B12" s="25" t="s">
        <v>17</v>
      </c>
      <c r="C12" s="25">
        <v>73</v>
      </c>
      <c r="D12" s="25">
        <v>79</v>
      </c>
      <c r="E12" s="25">
        <v>53</v>
      </c>
      <c r="F12" s="26">
        <v>44901</v>
      </c>
      <c r="G12" s="34">
        <f t="shared" si="0"/>
        <v>205</v>
      </c>
      <c r="H12" s="35">
        <f t="shared" si="3"/>
        <v>68.333333333333329</v>
      </c>
      <c r="I12" s="35" t="str">
        <f t="shared" si="1"/>
        <v>C</v>
      </c>
      <c r="J12" s="35" t="str">
        <f t="shared" si="2"/>
        <v>Below</v>
      </c>
      <c r="K12" s="60"/>
      <c r="L12" s="36"/>
      <c r="M12" s="36"/>
    </row>
    <row r="13" spans="1:13" ht="24.9" customHeight="1" thickBot="1">
      <c r="A13" s="24">
        <v>1012</v>
      </c>
      <c r="B13" s="25" t="s">
        <v>18</v>
      </c>
      <c r="C13" s="25">
        <v>85</v>
      </c>
      <c r="D13" s="25">
        <v>89</v>
      </c>
      <c r="E13" s="25">
        <v>79</v>
      </c>
      <c r="F13" s="26">
        <v>45081</v>
      </c>
      <c r="G13" s="34">
        <f t="shared" si="0"/>
        <v>253</v>
      </c>
      <c r="H13" s="35">
        <f t="shared" si="3"/>
        <v>84.333333333333329</v>
      </c>
      <c r="I13" s="35" t="str">
        <f t="shared" si="1"/>
        <v>B</v>
      </c>
      <c r="J13" s="35" t="str">
        <f t="shared" si="2"/>
        <v>Above</v>
      </c>
      <c r="K13" s="66" t="s">
        <v>114</v>
      </c>
      <c r="L13" s="36"/>
      <c r="M13" s="36"/>
    </row>
    <row r="14" spans="1:13" ht="24.9" customHeight="1" thickBot="1">
      <c r="A14" s="24">
        <v>1013</v>
      </c>
      <c r="B14" s="25" t="s">
        <v>19</v>
      </c>
      <c r="C14" s="25">
        <v>98</v>
      </c>
      <c r="D14" s="25">
        <v>90</v>
      </c>
      <c r="E14" s="25">
        <v>97</v>
      </c>
      <c r="F14" s="26">
        <v>45261</v>
      </c>
      <c r="G14" s="34">
        <f t="shared" si="0"/>
        <v>285</v>
      </c>
      <c r="H14" s="35">
        <f t="shared" si="3"/>
        <v>95</v>
      </c>
      <c r="I14" s="35" t="str">
        <f t="shared" si="1"/>
        <v>A</v>
      </c>
      <c r="J14" s="35" t="str">
        <f t="shared" si="2"/>
        <v>Above</v>
      </c>
      <c r="K14" s="60">
        <f>FLOOR(H8, 5)</f>
        <v>65</v>
      </c>
      <c r="L14" s="36"/>
      <c r="M14" s="36"/>
    </row>
    <row r="15" spans="1:13" ht="24.9" customHeight="1" thickBot="1">
      <c r="A15" s="24">
        <v>1014</v>
      </c>
      <c r="B15" s="25" t="s">
        <v>20</v>
      </c>
      <c r="C15" s="25">
        <v>93</v>
      </c>
      <c r="D15" s="25">
        <v>40</v>
      </c>
      <c r="E15" s="25">
        <v>44</v>
      </c>
      <c r="F15" s="26">
        <v>45441</v>
      </c>
      <c r="G15" s="34">
        <f t="shared" si="0"/>
        <v>177</v>
      </c>
      <c r="H15" s="35">
        <f t="shared" si="3"/>
        <v>59</v>
      </c>
      <c r="I15" s="35" t="str">
        <f t="shared" si="1"/>
        <v>A</v>
      </c>
      <c r="J15" s="35" t="str">
        <f t="shared" si="2"/>
        <v>Below</v>
      </c>
      <c r="K15" s="60"/>
      <c r="L15" s="36"/>
      <c r="M15" s="36"/>
    </row>
    <row r="16" spans="1:13" ht="24.9" customHeight="1" thickBot="1">
      <c r="A16" s="24">
        <v>1015</v>
      </c>
      <c r="B16" s="25" t="s">
        <v>21</v>
      </c>
      <c r="C16" s="25">
        <v>70</v>
      </c>
      <c r="D16" s="25">
        <v>51</v>
      </c>
      <c r="E16" s="25">
        <v>75</v>
      </c>
      <c r="F16" s="26">
        <v>45621</v>
      </c>
      <c r="G16" s="34">
        <f t="shared" si="0"/>
        <v>196</v>
      </c>
      <c r="H16" s="35">
        <f t="shared" si="3"/>
        <v>65.333333333333329</v>
      </c>
      <c r="I16" s="35" t="str">
        <f t="shared" si="1"/>
        <v>C</v>
      </c>
      <c r="J16" s="35" t="str">
        <f t="shared" si="2"/>
        <v>Below</v>
      </c>
      <c r="K16" s="66" t="s">
        <v>116</v>
      </c>
      <c r="L16" s="36"/>
      <c r="M16" s="36"/>
    </row>
    <row r="17" spans="1:13" ht="24.9" customHeight="1" thickBot="1">
      <c r="A17" s="24">
        <v>1016</v>
      </c>
      <c r="B17" s="25" t="s">
        <v>22</v>
      </c>
      <c r="C17" s="25">
        <v>98</v>
      </c>
      <c r="D17" s="25">
        <v>77</v>
      </c>
      <c r="E17" s="25">
        <v>60</v>
      </c>
      <c r="F17" s="26">
        <v>45801</v>
      </c>
      <c r="G17" s="34">
        <f t="shared" si="0"/>
        <v>235</v>
      </c>
      <c r="H17" s="35">
        <f t="shared" si="3"/>
        <v>78.333333333333329</v>
      </c>
      <c r="I17" s="35" t="str">
        <f t="shared" si="1"/>
        <v>A</v>
      </c>
      <c r="J17" s="35" t="str">
        <f t="shared" si="2"/>
        <v>Below</v>
      </c>
      <c r="K17" s="67">
        <f>CEILING(H10,5)</f>
        <v>60</v>
      </c>
      <c r="L17" s="36"/>
      <c r="M17" s="36"/>
    </row>
    <row r="18" spans="1:13" ht="24.9" customHeight="1" thickBot="1">
      <c r="A18" s="24">
        <v>1017</v>
      </c>
      <c r="B18" s="25" t="s">
        <v>23</v>
      </c>
      <c r="C18" s="25">
        <v>66</v>
      </c>
      <c r="D18" s="25">
        <v>59</v>
      </c>
      <c r="E18" s="25">
        <v>40</v>
      </c>
      <c r="F18" s="26">
        <v>45981</v>
      </c>
      <c r="G18" s="34">
        <f t="shared" si="0"/>
        <v>165</v>
      </c>
      <c r="H18" s="35">
        <f t="shared" si="3"/>
        <v>55</v>
      </c>
      <c r="I18" s="35" t="str">
        <f t="shared" si="1"/>
        <v>C</v>
      </c>
      <c r="J18" s="35" t="str">
        <f t="shared" si="2"/>
        <v>Below</v>
      </c>
      <c r="K18" s="60"/>
      <c r="L18" s="36"/>
      <c r="M18" s="36"/>
    </row>
    <row r="19" spans="1:13" ht="24.9" customHeight="1" thickBot="1">
      <c r="A19" s="24">
        <v>1018</v>
      </c>
      <c r="B19" s="25" t="s">
        <v>24</v>
      </c>
      <c r="C19" s="25">
        <v>82</v>
      </c>
      <c r="D19" s="25">
        <v>48</v>
      </c>
      <c r="E19" s="25">
        <v>79</v>
      </c>
      <c r="F19" s="26">
        <v>46161</v>
      </c>
      <c r="G19" s="34">
        <f t="shared" si="0"/>
        <v>209</v>
      </c>
      <c r="H19" s="35">
        <f t="shared" si="3"/>
        <v>69.666666666666671</v>
      </c>
      <c r="I19" s="35" t="str">
        <f t="shared" si="1"/>
        <v>B</v>
      </c>
      <c r="J19" s="35" t="str">
        <f t="shared" si="2"/>
        <v>Below</v>
      </c>
      <c r="K19" s="54" t="s">
        <v>103</v>
      </c>
      <c r="L19" s="55"/>
      <c r="M19" s="56"/>
    </row>
    <row r="20" spans="1:13" ht="24.9" customHeight="1" thickBot="1">
      <c r="A20" s="24">
        <v>1019</v>
      </c>
      <c r="B20" s="25" t="s">
        <v>25</v>
      </c>
      <c r="C20" s="25">
        <v>90</v>
      </c>
      <c r="D20" s="25">
        <v>78</v>
      </c>
      <c r="E20" s="25">
        <v>60</v>
      </c>
      <c r="F20" s="26">
        <v>46341</v>
      </c>
      <c r="G20" s="34">
        <f t="shared" si="0"/>
        <v>228</v>
      </c>
      <c r="H20" s="35">
        <f t="shared" si="3"/>
        <v>76</v>
      </c>
      <c r="I20" s="35" t="str">
        <f t="shared" si="1"/>
        <v>A</v>
      </c>
      <c r="J20" s="35" t="str">
        <f t="shared" si="2"/>
        <v>Below</v>
      </c>
      <c r="K20" s="59" cm="1">
        <f t="array" ref="K20:M20">_xlfn._xlws.FILTER(A2:C6, C2:C6&gt;80, "No Records")</f>
        <v>1003</v>
      </c>
      <c r="L20" s="37" t="str">
        <v>Student 3</v>
      </c>
      <c r="M20" s="37">
        <v>97</v>
      </c>
    </row>
    <row r="21" spans="1:13" ht="24.9" customHeight="1">
      <c r="A21" s="27">
        <v>1020</v>
      </c>
      <c r="B21" s="28" t="s">
        <v>26</v>
      </c>
      <c r="C21" s="28">
        <v>83</v>
      </c>
      <c r="D21" s="28">
        <v>92</v>
      </c>
      <c r="E21" s="28">
        <v>55</v>
      </c>
      <c r="F21" s="29">
        <v>46521</v>
      </c>
      <c r="G21" s="34">
        <f t="shared" si="0"/>
        <v>230</v>
      </c>
      <c r="H21" s="35">
        <f t="shared" si="3"/>
        <v>76.666666666666671</v>
      </c>
      <c r="I21" s="35" t="str">
        <f t="shared" si="1"/>
        <v>B</v>
      </c>
      <c r="J21" s="35" t="str">
        <f t="shared" si="2"/>
        <v>Above</v>
      </c>
      <c r="K21" s="60"/>
      <c r="L21" s="36"/>
      <c r="M21" s="36"/>
    </row>
    <row r="22" spans="1:13">
      <c r="A22" s="1"/>
      <c r="B22" s="1"/>
      <c r="C22" s="1"/>
      <c r="D22" s="1"/>
      <c r="E22" s="1"/>
      <c r="F22" s="5"/>
      <c r="G22" s="51">
        <f>SUM($G$2:$G$21)</f>
        <v>4223</v>
      </c>
      <c r="H22" s="52"/>
      <c r="I22" s="52"/>
      <c r="J22" s="52"/>
      <c r="K22" s="68"/>
    </row>
    <row r="23" spans="1:13">
      <c r="K23" s="68"/>
    </row>
  </sheetData>
  <mergeCells count="1">
    <mergeCell ref="K19:M19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CAB-A178-4E8B-A646-3D251E2CB2B3}">
  <dimension ref="A1:K22"/>
  <sheetViews>
    <sheetView tabSelected="1" workbookViewId="0">
      <selection activeCell="J14" sqref="J14"/>
    </sheetView>
  </sheetViews>
  <sheetFormatPr defaultRowHeight="14.4"/>
  <cols>
    <col min="1" max="1" width="12.109375" bestFit="1" customWidth="1"/>
    <col min="2" max="2" width="12" bestFit="1" customWidth="1"/>
    <col min="3" max="3" width="11" bestFit="1" customWidth="1"/>
    <col min="4" max="4" width="15.6640625" bestFit="1" customWidth="1"/>
    <col min="5" max="5" width="12.21875" style="3" bestFit="1" customWidth="1"/>
    <col min="6" max="6" width="11.88671875" style="6" bestFit="1" customWidth="1"/>
    <col min="7" max="7" width="17" bestFit="1" customWidth="1"/>
    <col min="8" max="8" width="8.109375" style="1" customWidth="1"/>
    <col min="9" max="9" width="17.5546875" customWidth="1"/>
    <col min="10" max="10" width="42.109375" style="1" customWidth="1"/>
    <col min="11" max="11" width="43.6640625" style="1" customWidth="1"/>
  </cols>
  <sheetData>
    <row r="1" spans="1:11" s="7" customFormat="1" ht="43.8" customHeight="1" thickBot="1">
      <c r="A1" s="40" t="s">
        <v>27</v>
      </c>
      <c r="B1" s="41" t="s">
        <v>28</v>
      </c>
      <c r="C1" s="41" t="s">
        <v>3</v>
      </c>
      <c r="D1" s="41" t="s">
        <v>2</v>
      </c>
      <c r="E1" s="42" t="s">
        <v>29</v>
      </c>
      <c r="F1" s="43" t="s">
        <v>30</v>
      </c>
      <c r="G1" s="44" t="s">
        <v>94</v>
      </c>
      <c r="H1" s="70" t="s">
        <v>84</v>
      </c>
      <c r="I1" s="45" t="s">
        <v>96</v>
      </c>
      <c r="J1" s="70" t="s">
        <v>98</v>
      </c>
      <c r="K1" s="46" t="s">
        <v>118</v>
      </c>
    </row>
    <row r="2" spans="1:11" ht="24.9" customHeight="1" thickBot="1">
      <c r="A2" s="24">
        <v>2001</v>
      </c>
      <c r="B2" s="25" t="s">
        <v>31</v>
      </c>
      <c r="C2" s="25" t="s">
        <v>5</v>
      </c>
      <c r="D2" s="25" t="s">
        <v>32</v>
      </c>
      <c r="E2" s="39">
        <v>7048</v>
      </c>
      <c r="F2" s="26">
        <v>44927</v>
      </c>
      <c r="G2" s="50">
        <f>E2*$H$2</f>
        <v>704.80000000000007</v>
      </c>
      <c r="H2" s="47">
        <v>0.1</v>
      </c>
      <c r="I2" s="35" t="str">
        <f>IF(OR(B2="Laptop", E2&gt;20000), "Eligible", "Not Eligible")</f>
        <v>Not Eligible</v>
      </c>
      <c r="J2" s="48">
        <f>SUMIFS(E2:E21, C2:C21, "East", B2:B21, "Keyboard")</f>
        <v>80349</v>
      </c>
      <c r="K2" s="48"/>
    </row>
    <row r="3" spans="1:11" ht="24.9" customHeight="1" thickBot="1">
      <c r="A3" s="24">
        <v>2002</v>
      </c>
      <c r="B3" s="25" t="s">
        <v>33</v>
      </c>
      <c r="C3" s="25" t="s">
        <v>34</v>
      </c>
      <c r="D3" s="25" t="s">
        <v>35</v>
      </c>
      <c r="E3" s="39">
        <v>17428</v>
      </c>
      <c r="F3" s="26">
        <v>44942</v>
      </c>
      <c r="G3" s="50">
        <f t="shared" ref="G3:G21" si="0">E3*$H$2</f>
        <v>1742.8000000000002</v>
      </c>
      <c r="H3" s="47"/>
      <c r="I3" s="35" t="str">
        <f t="shared" ref="I3:I21" si="1">IF(OR(B3="Laptop", E3&gt;20000), "Eligible", "Not Eligible")</f>
        <v>Not Eligible</v>
      </c>
      <c r="J3" s="36"/>
      <c r="K3" s="36"/>
    </row>
    <row r="4" spans="1:11" ht="24.9" customHeight="1" thickBot="1">
      <c r="A4" s="24">
        <v>2003</v>
      </c>
      <c r="B4" s="25" t="s">
        <v>36</v>
      </c>
      <c r="C4" s="25" t="s">
        <v>5</v>
      </c>
      <c r="D4" s="25" t="s">
        <v>37</v>
      </c>
      <c r="E4" s="39">
        <v>23672</v>
      </c>
      <c r="F4" s="26">
        <v>44957</v>
      </c>
      <c r="G4" s="50">
        <f t="shared" si="0"/>
        <v>2367.2000000000003</v>
      </c>
      <c r="H4" s="47"/>
      <c r="I4" s="35" t="str">
        <f t="shared" si="1"/>
        <v>Eligible</v>
      </c>
      <c r="J4" s="36" t="s">
        <v>105</v>
      </c>
      <c r="K4" s="36" t="s">
        <v>101</v>
      </c>
    </row>
    <row r="5" spans="1:11" ht="24.9" customHeight="1" thickBot="1">
      <c r="A5" s="24">
        <v>2004</v>
      </c>
      <c r="B5" s="25" t="s">
        <v>33</v>
      </c>
      <c r="C5" s="25" t="s">
        <v>38</v>
      </c>
      <c r="D5" s="25" t="s">
        <v>39</v>
      </c>
      <c r="E5" s="39">
        <v>5264</v>
      </c>
      <c r="F5" s="26">
        <v>44972</v>
      </c>
      <c r="G5" s="50">
        <f t="shared" si="0"/>
        <v>526.4</v>
      </c>
      <c r="H5" s="47"/>
      <c r="I5" s="35" t="str">
        <f t="shared" si="1"/>
        <v>Not Eligible</v>
      </c>
      <c r="J5" s="48">
        <f>SUMIFS(E2:E21, C2:C21, "North")</f>
        <v>140627</v>
      </c>
      <c r="K5" s="49">
        <f ca="1">SUM(OFFSET(E1, 1, 0, 3, 1))</f>
        <v>48148</v>
      </c>
    </row>
    <row r="6" spans="1:11" ht="24.9" customHeight="1" thickBot="1">
      <c r="A6" s="24">
        <v>2005</v>
      </c>
      <c r="B6" s="25" t="s">
        <v>31</v>
      </c>
      <c r="C6" s="25" t="s">
        <v>4</v>
      </c>
      <c r="D6" s="25" t="s">
        <v>40</v>
      </c>
      <c r="E6" s="39">
        <v>43388</v>
      </c>
      <c r="F6" s="26">
        <v>44987</v>
      </c>
      <c r="G6" s="50">
        <f t="shared" si="0"/>
        <v>4338.8</v>
      </c>
      <c r="H6" s="47"/>
      <c r="I6" s="35" t="str">
        <f t="shared" si="1"/>
        <v>Eligible</v>
      </c>
      <c r="J6" s="36"/>
      <c r="K6" s="36"/>
    </row>
    <row r="7" spans="1:11" ht="24.9" customHeight="1" thickBot="1">
      <c r="A7" s="24">
        <v>2006</v>
      </c>
      <c r="B7" s="25" t="s">
        <v>36</v>
      </c>
      <c r="C7" s="25" t="s">
        <v>4</v>
      </c>
      <c r="D7" s="25" t="s">
        <v>41</v>
      </c>
      <c r="E7" s="39">
        <v>19757</v>
      </c>
      <c r="F7" s="26">
        <v>45002</v>
      </c>
      <c r="G7" s="50">
        <f t="shared" si="0"/>
        <v>1975.7</v>
      </c>
      <c r="H7" s="47"/>
      <c r="I7" s="35" t="str">
        <f t="shared" si="1"/>
        <v>Not Eligible</v>
      </c>
      <c r="J7" s="36" t="s">
        <v>106</v>
      </c>
      <c r="K7" s="38" t="s">
        <v>114</v>
      </c>
    </row>
    <row r="8" spans="1:11" ht="24.9" customHeight="1" thickBot="1">
      <c r="A8" s="24">
        <v>2007</v>
      </c>
      <c r="B8" s="25" t="s">
        <v>36</v>
      </c>
      <c r="C8" s="25" t="s">
        <v>38</v>
      </c>
      <c r="D8" s="25" t="s">
        <v>42</v>
      </c>
      <c r="E8" s="39">
        <v>32058</v>
      </c>
      <c r="F8" s="26">
        <v>45017</v>
      </c>
      <c r="G8" s="50">
        <f t="shared" si="0"/>
        <v>3205.8</v>
      </c>
      <c r="H8" s="47"/>
      <c r="I8" s="35" t="str">
        <f t="shared" si="1"/>
        <v>Eligible</v>
      </c>
      <c r="J8" s="49">
        <f>SUMIFS(E2:E21, D2:D21, "Person 13", F2:F21, "&gt;=2023-06-01", F2:F21, "&lt;=2023-06-30")</f>
        <v>15560</v>
      </c>
      <c r="K8" s="36">
        <f>FLOOR(E4, 5)</f>
        <v>23670</v>
      </c>
    </row>
    <row r="9" spans="1:11" ht="24.9" customHeight="1" thickBot="1">
      <c r="A9" s="24">
        <v>2008</v>
      </c>
      <c r="B9" s="25" t="s">
        <v>31</v>
      </c>
      <c r="C9" s="25" t="s">
        <v>38</v>
      </c>
      <c r="D9" s="25" t="s">
        <v>43</v>
      </c>
      <c r="E9" s="39">
        <v>46429</v>
      </c>
      <c r="F9" s="26">
        <v>45032</v>
      </c>
      <c r="G9" s="50">
        <f t="shared" si="0"/>
        <v>4642.9000000000005</v>
      </c>
      <c r="H9" s="47"/>
      <c r="I9" s="35" t="str">
        <f t="shared" si="1"/>
        <v>Eligible</v>
      </c>
      <c r="J9" s="36"/>
      <c r="K9" s="36"/>
    </row>
    <row r="10" spans="1:11" ht="24.9" customHeight="1" thickBot="1">
      <c r="A10" s="24">
        <v>2009</v>
      </c>
      <c r="B10" s="25" t="s">
        <v>33</v>
      </c>
      <c r="C10" s="25" t="s">
        <v>38</v>
      </c>
      <c r="D10" s="25" t="s">
        <v>44</v>
      </c>
      <c r="E10" s="39">
        <v>19746</v>
      </c>
      <c r="F10" s="26">
        <v>45047</v>
      </c>
      <c r="G10" s="50">
        <f t="shared" si="0"/>
        <v>1974.6000000000001</v>
      </c>
      <c r="H10" s="47"/>
      <c r="I10" s="35" t="str">
        <f t="shared" si="1"/>
        <v>Not Eligible</v>
      </c>
      <c r="J10" s="36" t="s">
        <v>109</v>
      </c>
      <c r="K10" s="38"/>
    </row>
    <row r="11" spans="1:11" ht="24.9" customHeight="1" thickBot="1">
      <c r="A11" s="24">
        <v>2010</v>
      </c>
      <c r="B11" s="25" t="s">
        <v>31</v>
      </c>
      <c r="C11" s="25" t="s">
        <v>5</v>
      </c>
      <c r="D11" s="25" t="s">
        <v>45</v>
      </c>
      <c r="E11" s="39">
        <v>35185</v>
      </c>
      <c r="F11" s="26">
        <v>45062</v>
      </c>
      <c r="G11" s="50">
        <f t="shared" si="0"/>
        <v>3518.5</v>
      </c>
      <c r="H11" s="47"/>
      <c r="I11" s="35" t="str">
        <f t="shared" si="1"/>
        <v>Eligible</v>
      </c>
      <c r="J11" s="36">
        <f>INDEX(A2:A21, MATCH("South", C2:C21, 0))</f>
        <v>2001</v>
      </c>
      <c r="K11" s="36"/>
    </row>
    <row r="12" spans="1:11" ht="24.9" customHeight="1" thickBot="1">
      <c r="A12" s="24">
        <v>2011</v>
      </c>
      <c r="B12" s="25" t="s">
        <v>31</v>
      </c>
      <c r="C12" s="25" t="s">
        <v>38</v>
      </c>
      <c r="D12" s="25" t="s">
        <v>46</v>
      </c>
      <c r="E12" s="39">
        <v>33920</v>
      </c>
      <c r="F12" s="26">
        <v>45077</v>
      </c>
      <c r="G12" s="50">
        <f t="shared" si="0"/>
        <v>3392</v>
      </c>
      <c r="H12" s="47"/>
      <c r="I12" s="35" t="str">
        <f t="shared" si="1"/>
        <v>Eligible</v>
      </c>
      <c r="J12" s="36"/>
      <c r="K12" s="36"/>
    </row>
    <row r="13" spans="1:11" ht="24.9" customHeight="1" thickBot="1">
      <c r="A13" s="24">
        <v>2012</v>
      </c>
      <c r="B13" s="25" t="s">
        <v>47</v>
      </c>
      <c r="C13" s="25" t="s">
        <v>4</v>
      </c>
      <c r="D13" s="25" t="s">
        <v>48</v>
      </c>
      <c r="E13" s="39">
        <v>35611</v>
      </c>
      <c r="F13" s="26">
        <v>45092</v>
      </c>
      <c r="G13" s="50">
        <f t="shared" si="0"/>
        <v>3561.1000000000004</v>
      </c>
      <c r="H13" s="47"/>
      <c r="I13" s="35" t="str">
        <f t="shared" si="1"/>
        <v>Eligible</v>
      </c>
      <c r="J13" s="38" t="s">
        <v>110</v>
      </c>
      <c r="K13" s="38"/>
    </row>
    <row r="14" spans="1:11" ht="24.9" customHeight="1" thickBot="1">
      <c r="A14" s="24">
        <v>2013</v>
      </c>
      <c r="B14" s="25" t="s">
        <v>0</v>
      </c>
      <c r="C14" s="25" t="s">
        <v>38</v>
      </c>
      <c r="D14" s="25" t="s">
        <v>49</v>
      </c>
      <c r="E14" s="39">
        <v>15560</v>
      </c>
      <c r="F14" s="26">
        <v>45107</v>
      </c>
      <c r="G14" s="50">
        <f t="shared" si="0"/>
        <v>1556</v>
      </c>
      <c r="H14" s="47"/>
      <c r="I14" s="35" t="str">
        <f t="shared" si="1"/>
        <v>Eligible</v>
      </c>
      <c r="J14" s="36">
        <f>_xlfn.XMATCH("Keyboard", B2:B21)</f>
        <v>1</v>
      </c>
      <c r="K14" s="36"/>
    </row>
    <row r="15" spans="1:11" ht="24.9" customHeight="1" thickBot="1">
      <c r="A15" s="24">
        <v>2014</v>
      </c>
      <c r="B15" s="25" t="s">
        <v>0</v>
      </c>
      <c r="C15" s="25" t="s">
        <v>5</v>
      </c>
      <c r="D15" s="25" t="s">
        <v>50</v>
      </c>
      <c r="E15" s="39">
        <v>7283</v>
      </c>
      <c r="F15" s="26">
        <v>45122</v>
      </c>
      <c r="G15" s="50">
        <f t="shared" si="0"/>
        <v>728.30000000000007</v>
      </c>
      <c r="H15" s="47"/>
      <c r="I15" s="35" t="str">
        <f t="shared" si="1"/>
        <v>Eligible</v>
      </c>
      <c r="J15" s="36"/>
      <c r="K15" s="36"/>
    </row>
    <row r="16" spans="1:11" ht="24.9" customHeight="1" thickBot="1">
      <c r="A16" s="24">
        <v>2015</v>
      </c>
      <c r="B16" s="25" t="s">
        <v>0</v>
      </c>
      <c r="C16" s="25" t="s">
        <v>38</v>
      </c>
      <c r="D16" s="25" t="s">
        <v>51</v>
      </c>
      <c r="E16" s="39">
        <v>15678</v>
      </c>
      <c r="F16" s="26">
        <v>45137</v>
      </c>
      <c r="G16" s="50">
        <f t="shared" si="0"/>
        <v>1567.8000000000002</v>
      </c>
      <c r="H16" s="47"/>
      <c r="I16" s="35" t="str">
        <f t="shared" si="1"/>
        <v>Eligible</v>
      </c>
      <c r="J16" s="38" t="s">
        <v>104</v>
      </c>
      <c r="K16" s="36"/>
    </row>
    <row r="17" spans="1:11" ht="24.9" customHeight="1" thickBot="1">
      <c r="A17" s="24">
        <v>2016</v>
      </c>
      <c r="B17" s="25" t="s">
        <v>36</v>
      </c>
      <c r="C17" s="25" t="s">
        <v>38</v>
      </c>
      <c r="D17" s="25" t="s">
        <v>52</v>
      </c>
      <c r="E17" s="39">
        <v>5277</v>
      </c>
      <c r="F17" s="26">
        <v>45152</v>
      </c>
      <c r="G17" s="50">
        <f t="shared" si="0"/>
        <v>527.70000000000005</v>
      </c>
      <c r="H17" s="47"/>
      <c r="I17" s="35" t="str">
        <f t="shared" si="1"/>
        <v>Not Eligible</v>
      </c>
      <c r="J17" s="36">
        <f>_xlfn.XMATCH("Mouse", B2:B21)</f>
        <v>3</v>
      </c>
      <c r="K17" s="36"/>
    </row>
    <row r="18" spans="1:11" ht="24.9" customHeight="1" thickBot="1">
      <c r="A18" s="24">
        <v>2017</v>
      </c>
      <c r="B18" s="25" t="s">
        <v>47</v>
      </c>
      <c r="C18" s="25" t="s">
        <v>4</v>
      </c>
      <c r="D18" s="25" t="s">
        <v>53</v>
      </c>
      <c r="E18" s="39">
        <v>41871</v>
      </c>
      <c r="F18" s="26">
        <v>45167</v>
      </c>
      <c r="G18" s="50">
        <f t="shared" si="0"/>
        <v>4187.1000000000004</v>
      </c>
      <c r="H18" s="47"/>
      <c r="I18" s="35" t="str">
        <f t="shared" si="1"/>
        <v>Eligible</v>
      </c>
      <c r="J18" s="36"/>
      <c r="K18" s="36"/>
    </row>
    <row r="19" spans="1:11" ht="24.9" customHeight="1" thickBot="1">
      <c r="A19" s="24">
        <v>2018</v>
      </c>
      <c r="B19" s="25" t="s">
        <v>47</v>
      </c>
      <c r="C19" s="25" t="s">
        <v>34</v>
      </c>
      <c r="D19" s="25" t="s">
        <v>54</v>
      </c>
      <c r="E19" s="39">
        <v>38161</v>
      </c>
      <c r="F19" s="26">
        <v>45182</v>
      </c>
      <c r="G19" s="50">
        <f t="shared" si="0"/>
        <v>3816.1000000000004</v>
      </c>
      <c r="H19" s="47"/>
      <c r="I19" s="35" t="str">
        <f t="shared" si="1"/>
        <v>Eligible</v>
      </c>
      <c r="J19" s="36" t="s">
        <v>102</v>
      </c>
      <c r="K19" s="36"/>
    </row>
    <row r="20" spans="1:11" ht="24.9" customHeight="1" thickBot="1">
      <c r="A20" s="24">
        <v>2019</v>
      </c>
      <c r="B20" s="25" t="s">
        <v>36</v>
      </c>
      <c r="C20" s="25" t="s">
        <v>34</v>
      </c>
      <c r="D20" s="25" t="s">
        <v>55</v>
      </c>
      <c r="E20" s="39">
        <v>30436</v>
      </c>
      <c r="F20" s="26">
        <v>45197</v>
      </c>
      <c r="G20" s="50">
        <f t="shared" si="0"/>
        <v>3043.6000000000004</v>
      </c>
      <c r="H20" s="47"/>
      <c r="I20" s="35" t="str">
        <f t="shared" si="1"/>
        <v>Eligible</v>
      </c>
      <c r="J20" s="71">
        <f ca="1">SUM(INDIRECT("E2:E21"))</f>
        <v>507725</v>
      </c>
      <c r="K20" s="36"/>
    </row>
    <row r="21" spans="1:11" ht="24.9" customHeight="1" thickBot="1">
      <c r="A21" s="24">
        <v>2020</v>
      </c>
      <c r="B21" s="25" t="s">
        <v>33</v>
      </c>
      <c r="C21" s="25" t="s">
        <v>34</v>
      </c>
      <c r="D21" s="25" t="s">
        <v>56</v>
      </c>
      <c r="E21" s="39">
        <v>33953</v>
      </c>
      <c r="F21" s="26">
        <v>45212</v>
      </c>
      <c r="G21" s="50">
        <f t="shared" si="0"/>
        <v>3395.3</v>
      </c>
      <c r="H21" s="47"/>
      <c r="I21" s="35" t="str">
        <f t="shared" si="1"/>
        <v>Eligible</v>
      </c>
      <c r="J21" s="36"/>
      <c r="K21" s="36"/>
    </row>
    <row r="22" spans="1:11">
      <c r="C22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2BBD-301C-4948-8EE0-3CA432EB738E}">
  <dimension ref="A1:F21"/>
  <sheetViews>
    <sheetView topLeftCell="A4" zoomScaleNormal="100" workbookViewId="0">
      <selection activeCell="G13" sqref="G13"/>
    </sheetView>
  </sheetViews>
  <sheetFormatPr defaultRowHeight="14.4"/>
  <cols>
    <col min="1" max="1" width="13.21875" customWidth="1"/>
    <col min="2" max="2" width="14" bestFit="1" customWidth="1"/>
    <col min="3" max="3" width="15.33203125" bestFit="1" customWidth="1"/>
    <col min="4" max="4" width="17.88671875" style="3" bestFit="1" customWidth="1"/>
    <col min="5" max="5" width="13.109375" style="2" customWidth="1"/>
    <col min="6" max="6" width="47.21875" customWidth="1"/>
  </cols>
  <sheetData>
    <row r="1" spans="1:6" ht="24.9" customHeight="1" thickBot="1">
      <c r="A1" s="20" t="s">
        <v>57</v>
      </c>
      <c r="B1" s="21" t="s">
        <v>6</v>
      </c>
      <c r="C1" s="21" t="s">
        <v>58</v>
      </c>
      <c r="D1" s="22" t="s">
        <v>1</v>
      </c>
      <c r="E1" s="23" t="s">
        <v>59</v>
      </c>
      <c r="F1" s="53" t="s">
        <v>117</v>
      </c>
    </row>
    <row r="2" spans="1:6" ht="24.9" customHeight="1" thickBot="1">
      <c r="A2" s="14">
        <v>3001</v>
      </c>
      <c r="B2" s="4" t="s">
        <v>60</v>
      </c>
      <c r="C2" s="4" t="s">
        <v>61</v>
      </c>
      <c r="D2" s="10">
        <v>86766</v>
      </c>
      <c r="E2" s="15">
        <v>42005</v>
      </c>
      <c r="F2" s="1" t="str">
        <f>_xlfn.XLOOKUP(A6, A2:A21, B2:B21)</f>
        <v>Employee 5</v>
      </c>
    </row>
    <row r="3" spans="1:6" ht="24.9" customHeight="1" thickBot="1">
      <c r="A3" s="14">
        <v>3002</v>
      </c>
      <c r="B3" s="4" t="s">
        <v>62</v>
      </c>
      <c r="C3" s="4" t="s">
        <v>61</v>
      </c>
      <c r="D3" s="10">
        <v>31943</v>
      </c>
      <c r="E3" s="15">
        <v>42255</v>
      </c>
      <c r="F3" s="13"/>
    </row>
    <row r="4" spans="1:6" ht="24.9" customHeight="1" thickBot="1">
      <c r="A4" s="14">
        <v>3003</v>
      </c>
      <c r="B4" s="4" t="s">
        <v>63</v>
      </c>
      <c r="C4" s="4" t="s">
        <v>64</v>
      </c>
      <c r="D4" s="10">
        <v>63374</v>
      </c>
      <c r="E4" s="15">
        <v>42505</v>
      </c>
      <c r="F4" s="11" t="s">
        <v>107</v>
      </c>
    </row>
    <row r="5" spans="1:6" ht="24.9" customHeight="1" thickBot="1">
      <c r="A5" s="14">
        <v>3004</v>
      </c>
      <c r="B5" s="4" t="s">
        <v>65</v>
      </c>
      <c r="C5" s="4" t="s">
        <v>61</v>
      </c>
      <c r="D5" s="10">
        <v>109972</v>
      </c>
      <c r="E5" s="15">
        <v>42755</v>
      </c>
      <c r="F5" s="1" t="str">
        <f>LEFT(B2, FIND(" ", B2) - 1)</f>
        <v>Employee</v>
      </c>
    </row>
    <row r="6" spans="1:6" ht="24.9" customHeight="1" thickBot="1">
      <c r="A6" s="14">
        <v>3005</v>
      </c>
      <c r="B6" s="4" t="s">
        <v>66</v>
      </c>
      <c r="C6" s="4" t="s">
        <v>67</v>
      </c>
      <c r="D6" s="10">
        <v>54149</v>
      </c>
      <c r="E6" s="15">
        <v>43005</v>
      </c>
      <c r="F6" s="12"/>
    </row>
    <row r="7" spans="1:6" ht="24.9" customHeight="1" thickBot="1">
      <c r="A7" s="14">
        <v>3006</v>
      </c>
      <c r="B7" s="4" t="s">
        <v>68</v>
      </c>
      <c r="C7" s="4" t="s">
        <v>67</v>
      </c>
      <c r="D7" s="10">
        <v>78689</v>
      </c>
      <c r="E7" s="15">
        <v>43255</v>
      </c>
      <c r="F7" s="11" t="s">
        <v>108</v>
      </c>
    </row>
    <row r="8" spans="1:6" ht="24.9" customHeight="1" thickBot="1">
      <c r="A8" s="14">
        <v>3007</v>
      </c>
      <c r="B8" s="4" t="s">
        <v>69</v>
      </c>
      <c r="C8" s="4" t="s">
        <v>70</v>
      </c>
      <c r="D8" s="10">
        <v>35960</v>
      </c>
      <c r="E8" s="15">
        <v>43505</v>
      </c>
      <c r="F8" s="1" t="str">
        <f>UPPER(C5)</f>
        <v>FINANCE</v>
      </c>
    </row>
    <row r="9" spans="1:6" ht="24.9" customHeight="1" thickBot="1">
      <c r="A9" s="14">
        <v>3008</v>
      </c>
      <c r="B9" s="4" t="s">
        <v>71</v>
      </c>
      <c r="C9" s="4" t="s">
        <v>67</v>
      </c>
      <c r="D9" s="10">
        <v>91659</v>
      </c>
      <c r="E9" s="15">
        <v>43755</v>
      </c>
    </row>
    <row r="10" spans="1:6" ht="24.9" customHeight="1" thickBot="1">
      <c r="A10" s="14">
        <v>3009</v>
      </c>
      <c r="B10" s="4" t="s">
        <v>72</v>
      </c>
      <c r="C10" s="4" t="s">
        <v>67</v>
      </c>
      <c r="D10" s="10">
        <v>90423</v>
      </c>
      <c r="E10" s="15">
        <v>44005</v>
      </c>
      <c r="F10" s="9" t="s">
        <v>111</v>
      </c>
    </row>
    <row r="11" spans="1:6" ht="24.9" customHeight="1" thickBot="1">
      <c r="A11" s="14">
        <v>3010</v>
      </c>
      <c r="B11" s="4" t="s">
        <v>73</v>
      </c>
      <c r="C11" s="4" t="s">
        <v>64</v>
      </c>
      <c r="D11" s="10">
        <v>107877</v>
      </c>
      <c r="E11" s="15">
        <v>44255</v>
      </c>
      <c r="F11" s="8">
        <f>_xlfn.XLOOKUP("Employee 2", B2:B21, D2:D21)</f>
        <v>31943</v>
      </c>
    </row>
    <row r="12" spans="1:6" ht="24.9" customHeight="1" thickBot="1">
      <c r="A12" s="14">
        <v>3011</v>
      </c>
      <c r="B12" s="4" t="s">
        <v>74</v>
      </c>
      <c r="C12" s="4" t="s">
        <v>61</v>
      </c>
      <c r="D12" s="10">
        <v>107634</v>
      </c>
      <c r="E12" s="15">
        <v>44505</v>
      </c>
    </row>
    <row r="13" spans="1:6" ht="24.9" customHeight="1" thickBot="1">
      <c r="A13" s="14">
        <v>3012</v>
      </c>
      <c r="B13" s="4" t="s">
        <v>75</v>
      </c>
      <c r="C13" s="4" t="s">
        <v>61</v>
      </c>
      <c r="D13" s="10">
        <v>35226</v>
      </c>
      <c r="E13" s="15">
        <v>44755</v>
      </c>
      <c r="F13" s="9" t="s">
        <v>113</v>
      </c>
    </row>
    <row r="14" spans="1:6" ht="24.9" customHeight="1" thickBot="1">
      <c r="A14" s="14">
        <v>3013</v>
      </c>
      <c r="B14" s="4" t="s">
        <v>76</v>
      </c>
      <c r="C14" s="4" t="s">
        <v>64</v>
      </c>
      <c r="D14" s="10">
        <v>40872</v>
      </c>
      <c r="E14" s="15">
        <v>45005</v>
      </c>
      <c r="F14" s="1">
        <f ca="1">DATEDIF(E2, TODAY(), "Y")</f>
        <v>11</v>
      </c>
    </row>
    <row r="15" spans="1:6" ht="24.9" customHeight="1" thickBot="1">
      <c r="A15" s="14">
        <v>3014</v>
      </c>
      <c r="B15" s="4" t="s">
        <v>77</v>
      </c>
      <c r="C15" s="4" t="s">
        <v>64</v>
      </c>
      <c r="D15" s="10">
        <v>55378</v>
      </c>
      <c r="E15" s="15">
        <v>45255</v>
      </c>
      <c r="F15" s="1"/>
    </row>
    <row r="16" spans="1:6" ht="24.9" customHeight="1" thickBot="1">
      <c r="A16" s="14">
        <v>3015</v>
      </c>
      <c r="B16" s="4" t="s">
        <v>78</v>
      </c>
      <c r="C16" s="4" t="s">
        <v>64</v>
      </c>
      <c r="D16" s="10">
        <v>63297</v>
      </c>
      <c r="E16" s="15">
        <v>45505</v>
      </c>
      <c r="F16" s="9" t="s">
        <v>112</v>
      </c>
    </row>
    <row r="17" spans="1:6" ht="24.9" customHeight="1" thickBot="1">
      <c r="A17" s="14">
        <v>3016</v>
      </c>
      <c r="B17" s="4" t="s">
        <v>79</v>
      </c>
      <c r="C17" s="4" t="s">
        <v>61</v>
      </c>
      <c r="D17" s="10">
        <v>114173</v>
      </c>
      <c r="E17" s="15">
        <v>45755</v>
      </c>
      <c r="F17" s="72">
        <f ca="1">TODAY() - E3</f>
        <v>4005</v>
      </c>
    </row>
    <row r="18" spans="1:6" ht="24.9" customHeight="1" thickBot="1">
      <c r="A18" s="14">
        <v>3017</v>
      </c>
      <c r="B18" s="4" t="s">
        <v>80</v>
      </c>
      <c r="C18" s="4" t="s">
        <v>64</v>
      </c>
      <c r="D18" s="10">
        <v>86915</v>
      </c>
      <c r="E18" s="15">
        <v>46005</v>
      </c>
      <c r="F18" s="9"/>
    </row>
    <row r="19" spans="1:6" ht="24.9" customHeight="1" thickBot="1">
      <c r="A19" s="14">
        <v>3018</v>
      </c>
      <c r="B19" s="4" t="s">
        <v>81</v>
      </c>
      <c r="C19" s="4" t="s">
        <v>67</v>
      </c>
      <c r="D19" s="10">
        <v>116284</v>
      </c>
      <c r="E19" s="15">
        <v>46255</v>
      </c>
    </row>
    <row r="20" spans="1:6" ht="24.9" customHeight="1" thickBot="1">
      <c r="A20" s="14">
        <v>3019</v>
      </c>
      <c r="B20" s="4" t="s">
        <v>82</v>
      </c>
      <c r="C20" s="4" t="s">
        <v>70</v>
      </c>
      <c r="D20" s="10">
        <v>116283</v>
      </c>
      <c r="E20" s="15">
        <v>46505</v>
      </c>
    </row>
    <row r="21" spans="1:6" ht="24.9" customHeight="1">
      <c r="A21" s="16">
        <v>3020</v>
      </c>
      <c r="B21" s="17" t="s">
        <v>83</v>
      </c>
      <c r="C21" s="17" t="s">
        <v>70</v>
      </c>
      <c r="D21" s="18">
        <v>99924</v>
      </c>
      <c r="E21" s="19">
        <v>46755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krish patel</cp:lastModifiedBy>
  <dcterms:created xsi:type="dcterms:W3CDTF">2026-08-20T03:40:35Z</dcterms:created>
  <dcterms:modified xsi:type="dcterms:W3CDTF">2026-08-26T08:33:29Z</dcterms:modified>
</cp:coreProperties>
</file>